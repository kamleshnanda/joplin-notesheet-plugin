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workspace/joplin-univer/tests/ExcelBaseTestData/formatting-testdata/"/>
    </mc:Choice>
  </mc:AlternateContent>
  <xr:revisionPtr revIDLastSave="0" documentId="13_ncr:1_{E72B1C79-75F0-D149-B23A-67FB2824D6ED}" xr6:coauthVersionLast="47" xr6:coauthVersionMax="47" xr10:uidLastSave="{00000000-0000-0000-0000-000000000000}"/>
  <bookViews>
    <workbookView xWindow="0" yWindow="660" windowWidth="30240" windowHeight="18980" xr2:uid="{8038F014-E0DA-9346-89F6-5C56764F8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D10" i="1"/>
  <c r="C10" i="1"/>
  <c r="G10" i="1"/>
</calcChain>
</file>

<file path=xl/sharedStrings.xml><?xml version="1.0" encoding="utf-8"?>
<sst xmlns="http://schemas.openxmlformats.org/spreadsheetml/2006/main" count="32" uniqueCount="27">
  <si>
    <t>Project</t>
  </si>
  <si>
    <t>Website</t>
  </si>
  <si>
    <t>Budget</t>
  </si>
  <si>
    <t>Spent</t>
  </si>
  <si>
    <t>% Complete</t>
  </si>
  <si>
    <t>Start Date</t>
  </si>
  <si>
    <t>Status</t>
  </si>
  <si>
    <t>Alpha Launch</t>
  </si>
  <si>
    <t>https://example.com/alpha</t>
  </si>
  <si>
    <t>Active</t>
  </si>
  <si>
    <t>Beta Platform</t>
  </si>
  <si>
    <t>https://example.com/beta</t>
  </si>
  <si>
    <t>Gamma Analytics</t>
  </si>
  <si>
    <t>https://example.com/gamma</t>
  </si>
  <si>
    <t>Complete</t>
  </si>
  <si>
    <t>Delta Migration</t>
  </si>
  <si>
    <t>https://example.com/delta</t>
  </si>
  <si>
    <t>Planning</t>
  </si>
  <si>
    <t>Epsilon Portal</t>
  </si>
  <si>
    <t>https://example.com/epsilon</t>
  </si>
  <si>
    <t>Zeta Security</t>
  </si>
  <si>
    <t>https://example.com/zeta</t>
  </si>
  <si>
    <t>Eta Dashboard</t>
  </si>
  <si>
    <t>https://example.com/eta</t>
  </si>
  <si>
    <t>Theta API</t>
  </si>
  <si>
    <t>https://example.com/theta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</si>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</sst>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yyyy\-mm\-dd"/>
  </numFmts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ptos"/>
    </font>
    <font>
      <u/>
      <sz val="11"/>
      <color theme="10"/>
      <name val="Aptos"/>
    </font>
    <font>
      <sz val="11"/>
      <color rgb="FF8FAADC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F4B183"/>
      </left>
      <right style="medium">
        <color rgb="FFF4B183"/>
      </right>
      <top style="medium">
        <color rgb="FFF4B183"/>
      </top>
      <bottom style="medium">
        <color rgb="FFF4B18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1" applyFont="1"/>
    <xf numFmtId="164" fontId="2" fillId="0" borderId="0" xfId="0" applyNumberFormat="1" applyFont="1"/>
    <xf numFmtId="9" fontId="2" fillId="0" borderId="0" xfId="0" applyNumberFormat="1" applyFont="1"/>
    <xf numFmtId="165" fontId="2" fillId="0" borderId="0" xfId="0" applyNumberFormat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17"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  <numFmt numFmtId="19" formatCode="m/d/yy"/>
    </dxf>
    <dxf>
      <font>
        <sz val="11"/>
        <name val="Aptos"/>
      </font>
      <numFmt numFmtId="13" formatCode="0%"/>
    </dxf>
    <dxf>
      <font>
        <sz val="11"/>
        <name val="Aptos"/>
      </font>
    </dxf>
    <dxf>
      <font>
        <sz val="11"/>
        <name val="Aptos"/>
      </font>
      <numFmt numFmtId="164" formatCode="&quot;$&quot;#,##0"/>
    </dxf>
    <dxf>
      <font>
        <sz val="11"/>
        <name val="Aptos"/>
      </font>
    </dxf>
    <dxf>
      <font>
        <sz val="11"/>
        <name val="Aptos"/>
      </font>
      <numFmt numFmtId="164" formatCode="&quot;$&quot;#,##0"/>
    </dxf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</dxf>
    <dxf>
      <font>
        <sz val="11"/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B3E454-1343-AF4D-8A75-918CC242F094}" name="ProjectTracker" displayName="ProjectTracker" ref="A1:G10" totalsRowCount="1" headerRowDxfId="16" dataDxfId="15" totalsRowDxfId="14">
  <autoFilter ref="A1:G9" xr:uid="{33B3E454-1343-AF4D-8A75-918CC242F094}"/>
  <tableColumns count="7">
    <tableColumn id="1" xr3:uid="{19393CFA-5FD9-594F-888E-0F27E7C6198A}" name="Project" totalsRowLabel="Totals" dataDxfId="13" totalsRowDxfId="12"/>
    <tableColumn id="2" xr3:uid="{FD85AF8F-688B-7A40-B424-579D09690DB1}" name="Website" dataDxfId="11" totalsRowDxfId="10"/>
    <tableColumn id="3" xr3:uid="{9EE65B2E-ABE2-974F-B58B-E41E784F00A5}" name="Budget" totalsRowFunction="sum" dataDxfId="9" totalsRowDxfId="8"/>
    <tableColumn id="4" xr3:uid="{812BB9FD-5302-E548-80E2-882BCF9F1210}" name="Spent" totalsRowFunction="sum" dataDxfId="7" totalsRowDxfId="6"/>
    <tableColumn id="5" xr3:uid="{9AD95526-1178-B043-AD00-3E94D487EE04}" name="% Complete" totalsRowFunction="average" dataDxfId="5" totalsRowDxfId="4"/>
    <tableColumn id="6" xr3:uid="{9FCE0904-C3B3-8B4B-B6F2-D1D7A471D676}" name="Start Date" dataDxfId="3" totalsRowDxfId="2"/>
    <tableColumn id="7" xr3:uid="{0E005CD4-E11C-124F-BA4E-E09966294098}" name="Status" totalsRowFunction="count" dataDxfId="1" totalsRow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7F7262-5C9E-B740-988E-AF304F328E90}">
  <we:reference id="cc60e3e5-41cc-4675-9c49-ad04959b3f7a" version="1.0.1.6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3FC0-8692-194E-B237-756C39ACF19D}">
  <dimension ref="A1:G10"/>
  <sheetViews>
    <sheetView tabSelected="1" workbookViewId="0">
      <selection activeCell="G12" sqref="G12"/>
    </sheetView>
  </sheetViews>
  <sheetFormatPr baseColWidth="10" defaultColWidth="20" defaultRowHeight="40" customHeight="1" x14ac:dyDescent="0.2"/>
  <sheetData>
    <row r="1" spans="1:7" ht="40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" customHeight="1" thickBot="1" x14ac:dyDescent="0.25">
      <c r="A2" s="2" t="s">
        <v>7</v>
      </c>
      <c r="B2" s="3" t="s">
        <v>8</v>
      </c>
      <c r="C2" s="4">
        <v>50000</v>
      </c>
      <c r="D2" s="4">
        <v>32000</v>
      </c>
      <c r="E2" s="5">
        <v>0.64</v>
      </c>
      <c r="F2" s="6">
        <v>46037</v>
      </c>
      <c r="G2" s="7" t="s">
        <v>9</v>
      </c>
    </row>
    <row r="3" spans="1:7" ht="40" customHeight="1" x14ac:dyDescent="0.2">
      <c r="A3" s="1" t="s">
        <v>10</v>
      </c>
      <c r="B3" s="3" t="s">
        <v>11</v>
      </c>
      <c r="C3" s="4">
        <v>75000</v>
      </c>
      <c r="D3" s="4">
        <v>41250</v>
      </c>
      <c r="E3" s="5">
        <v>0.55000000000000004</v>
      </c>
      <c r="F3" s="6">
        <v>46054</v>
      </c>
      <c r="G3" s="1" t="s">
        <v>9</v>
      </c>
    </row>
    <row r="4" spans="1:7" ht="40" customHeight="1" x14ac:dyDescent="0.2">
      <c r="A4" s="1" t="s">
        <v>12</v>
      </c>
      <c r="B4" s="3" t="s">
        <v>13</v>
      </c>
      <c r="C4" s="4">
        <v>120000</v>
      </c>
      <c r="D4" s="4">
        <v>108000</v>
      </c>
      <c r="E4" s="5">
        <v>0.9</v>
      </c>
      <c r="F4" s="6">
        <v>45971</v>
      </c>
      <c r="G4" s="1" t="s">
        <v>14</v>
      </c>
    </row>
    <row r="5" spans="1:7" ht="40" customHeight="1" x14ac:dyDescent="0.2">
      <c r="A5" s="1" t="s">
        <v>15</v>
      </c>
      <c r="B5" s="3" t="s">
        <v>16</v>
      </c>
      <c r="C5" s="4">
        <v>30000</v>
      </c>
      <c r="D5" s="4">
        <v>9000</v>
      </c>
      <c r="E5" s="5">
        <v>0.3</v>
      </c>
      <c r="F5" s="6">
        <v>46101</v>
      </c>
      <c r="G5" s="1" t="s">
        <v>17</v>
      </c>
    </row>
    <row r="6" spans="1:7" ht="40" customHeight="1" x14ac:dyDescent="0.2">
      <c r="A6" s="1" t="s">
        <v>18</v>
      </c>
      <c r="B6" s="3" t="s">
        <v>19</v>
      </c>
      <c r="C6" s="4">
        <v>95000</v>
      </c>
      <c r="D6" s="4">
        <v>66500</v>
      </c>
      <c r="E6" s="5">
        <v>0.7</v>
      </c>
      <c r="F6" s="6">
        <v>46027</v>
      </c>
      <c r="G6" s="1" t="s">
        <v>9</v>
      </c>
    </row>
    <row r="7" spans="1:7" ht="40" customHeight="1" x14ac:dyDescent="0.2">
      <c r="A7" s="1" t="s">
        <v>20</v>
      </c>
      <c r="B7" s="3" t="s">
        <v>21</v>
      </c>
      <c r="C7" s="4">
        <v>60000</v>
      </c>
      <c r="D7" s="4">
        <v>54000</v>
      </c>
      <c r="E7" s="5">
        <v>0.9</v>
      </c>
      <c r="F7" s="6">
        <v>45992</v>
      </c>
      <c r="G7" s="1" t="s">
        <v>14</v>
      </c>
    </row>
    <row r="8" spans="1:7" ht="40" customHeight="1" x14ac:dyDescent="0.2">
      <c r="A8" s="1" t="s">
        <v>22</v>
      </c>
      <c r="B8" s="3" t="s">
        <v>23</v>
      </c>
      <c r="C8" s="4">
        <v>45000</v>
      </c>
      <c r="D8" s="4">
        <v>22500</v>
      </c>
      <c r="E8" s="5">
        <v>0.5</v>
      </c>
      <c r="F8" s="6">
        <v>46124</v>
      </c>
      <c r="G8" s="1" t="s">
        <v>9</v>
      </c>
    </row>
    <row r="9" spans="1:7" ht="40" customHeight="1" x14ac:dyDescent="0.2">
      <c r="A9" s="1" t="s">
        <v>24</v>
      </c>
      <c r="B9" s="3" t="s">
        <v>25</v>
      </c>
      <c r="C9" s="4">
        <v>85000</v>
      </c>
      <c r="D9" s="4">
        <v>25500</v>
      </c>
      <c r="E9" s="5">
        <v>0.3</v>
      </c>
      <c r="F9" s="6">
        <v>46143</v>
      </c>
      <c r="G9" s="1" t="s">
        <v>17</v>
      </c>
    </row>
    <row r="10" spans="1:7" ht="40" customHeight="1" x14ac:dyDescent="0.2">
      <c r="A10" s="1" t="s">
        <v>26</v>
      </c>
      <c r="B10" s="1"/>
      <c r="C10" s="4">
        <f>SUBTOTAL(109,ProjectTracker[Budget])</f>
        <v>560000</v>
      </c>
      <c r="D10" s="4">
        <f>SUBTOTAL(109,ProjectTracker[Spent])</f>
        <v>358750</v>
      </c>
      <c r="E10" s="5">
        <f>SUBTOTAL(101,ProjectTracker[% Complete])</f>
        <v>0.59875</v>
      </c>
      <c r="F10" s="1"/>
      <c r="G10" s="1">
        <f>SUBTOTAL(103,ProjectTracker[Status])</f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2026-06-01T16:43:43Z</dcterms:created>
  <dcterms:modified xsi:type="dcterms:W3CDTF">2026-06-07T05:38:24Z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2026-06-01T17:47:18Z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8615b483-bc1f-44c7-9727-29bb1f29ac1f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